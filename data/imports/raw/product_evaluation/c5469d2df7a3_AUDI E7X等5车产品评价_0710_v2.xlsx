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siit-my.sharepoint.com/personal/jianxiang_wang_diact_com/Documents/Social Listening_上汽ad-hoc项目/5. 集团_AUDI E7X及竞品五车分析/3. 报告/"/>
    </mc:Choice>
  </mc:AlternateContent>
  <xr:revisionPtr revIDLastSave="889" documentId="13_ncr:1_{06852BBA-B442-457C-9C4B-232F6B0A1445}" xr6:coauthVersionLast="47" xr6:coauthVersionMax="47" xr10:uidLastSave="{4779A59D-7FEC-416C-8BB6-357D2686341B}"/>
  <bookViews>
    <workbookView xWindow="-110" yWindow="-110" windowWidth="25820" windowHeight="15500" activeTab="1" xr2:uid="{77A7205F-76FA-4D92-B95C-CD90AE8B4784}"/>
  </bookViews>
  <sheets>
    <sheet name="Read Me" sheetId="6" r:id="rId1"/>
    <sheet name="数据整理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1" i="9" l="1"/>
  <c r="S41" i="9"/>
  <c r="R41" i="9"/>
  <c r="Q41" i="9"/>
  <c r="P41" i="9"/>
  <c r="N41" i="9"/>
  <c r="O41" i="9"/>
  <c r="AB44" i="9"/>
  <c r="AB43" i="9"/>
  <c r="AB42" i="9"/>
  <c r="AB41" i="9"/>
  <c r="AB40" i="9"/>
  <c r="AB39" i="9"/>
  <c r="AB38" i="9"/>
  <c r="AB37" i="9"/>
  <c r="AB36" i="9"/>
  <c r="AB35" i="9"/>
  <c r="AB34" i="9"/>
  <c r="AB33" i="9"/>
  <c r="AB32" i="9"/>
  <c r="AB31" i="9"/>
  <c r="AB30" i="9"/>
  <c r="AB58" i="9"/>
  <c r="AB55" i="9"/>
  <c r="AB53" i="9"/>
  <c r="AC53" i="9" s="1"/>
  <c r="AB52" i="9"/>
  <c r="AC52" i="9" s="1"/>
  <c r="AB51" i="9"/>
  <c r="AC51" i="9" s="1"/>
  <c r="AB50" i="9"/>
  <c r="AC50" i="9" s="1"/>
  <c r="AB49" i="9"/>
  <c r="AC49" i="9" s="1"/>
  <c r="AB48" i="9"/>
  <c r="AC48" i="9" s="1"/>
  <c r="AB62" i="9"/>
  <c r="AB61" i="9"/>
  <c r="AB60" i="9"/>
  <c r="AB59" i="9"/>
  <c r="AB57" i="9"/>
  <c r="AB56" i="9"/>
  <c r="AB54" i="9"/>
  <c r="AC54" i="9" s="1"/>
  <c r="AB26" i="9"/>
  <c r="AB25" i="9"/>
  <c r="AC61" i="9" s="1"/>
  <c r="AB24" i="9"/>
  <c r="AB23" i="9"/>
  <c r="AB22" i="9"/>
  <c r="AB21" i="9"/>
  <c r="AB20" i="9"/>
  <c r="AB19" i="9"/>
  <c r="AB18" i="9"/>
  <c r="AB17" i="9"/>
  <c r="AB16" i="9"/>
  <c r="AB15" i="9"/>
  <c r="AB14" i="9"/>
  <c r="AB13" i="9"/>
  <c r="AB12" i="9"/>
  <c r="AC58" i="9" l="1"/>
  <c r="AC57" i="9"/>
  <c r="AC59" i="9"/>
  <c r="AC56" i="9"/>
  <c r="AC55" i="9"/>
  <c r="AC62" i="9"/>
  <c r="AC60" i="9"/>
  <c r="AC43" i="9"/>
  <c r="AC44" i="9"/>
  <c r="AC30" i="9"/>
  <c r="AC31" i="9"/>
  <c r="AC33" i="9"/>
  <c r="AC32" i="9"/>
  <c r="AC35" i="9"/>
  <c r="AC36" i="9"/>
  <c r="AC34" i="9"/>
  <c r="AC40" i="9"/>
  <c r="AC42" i="9"/>
  <c r="AC37" i="9"/>
  <c r="AC38" i="9"/>
  <c r="AC41" i="9"/>
  <c r="AC39" i="9"/>
</calcChain>
</file>

<file path=xl/sharedStrings.xml><?xml version="1.0" encoding="utf-8"?>
<sst xmlns="http://schemas.openxmlformats.org/spreadsheetml/2006/main" count="202" uniqueCount="89">
  <si>
    <t>正面</t>
  </si>
  <si>
    <t>NSR</t>
    <phoneticPr fontId="3" type="noConversion"/>
  </si>
  <si>
    <t>中性</t>
  </si>
  <si>
    <t>负面</t>
  </si>
  <si>
    <t>数据源：</t>
    <phoneticPr fontId="3" type="noConversion"/>
  </si>
  <si>
    <t>主流社交媒体：微博，微信公众号，微信视频号，抖音，快手，小红书，知乎，B站</t>
    <phoneticPr fontId="3" type="noConversion"/>
  </si>
  <si>
    <t>五大汽车媒体：汽车之家，懂车帝，易车，爱卡，太平洋汽车</t>
    <phoneticPr fontId="3" type="noConversion"/>
  </si>
  <si>
    <t>主流门户网站：今日头条，搜狐，腾讯，界面，凤凰网，爱奇艺等</t>
    <phoneticPr fontId="3" type="noConversion"/>
  </si>
  <si>
    <t>数据时间段：</t>
    <phoneticPr fontId="3" type="noConversion"/>
  </si>
  <si>
    <t>全网</t>
    <phoneticPr fontId="3" type="noConversion"/>
  </si>
  <si>
    <t>整体情感对比</t>
    <phoneticPr fontId="3" type="noConversion"/>
  </si>
  <si>
    <t>整体热度</t>
    <phoneticPr fontId="3" type="noConversion"/>
  </si>
  <si>
    <t>声量</t>
    <phoneticPr fontId="3" type="noConversion"/>
  </si>
  <si>
    <t>指标计算规则：</t>
    <phoneticPr fontId="3" type="noConversion"/>
  </si>
  <si>
    <t>声量= 帖子量 + 评论量</t>
    <phoneticPr fontId="3" type="noConversion"/>
  </si>
  <si>
    <t>互动量 = 转发量 + 评论量 + 点赞量</t>
    <phoneticPr fontId="3" type="noConversion"/>
  </si>
  <si>
    <t>NSR (净喜好度）= （正面 - 负面）/（正面 + 负面）</t>
    <phoneticPr fontId="3" type="noConversion"/>
  </si>
  <si>
    <t>NSR计算范围：</t>
    <phoneticPr fontId="3" type="noConversion"/>
  </si>
  <si>
    <t>车型范围：</t>
    <phoneticPr fontId="3" type="noConversion"/>
  </si>
  <si>
    <t>互动量</t>
    <phoneticPr fontId="3" type="noConversion"/>
  </si>
  <si>
    <t>抖音</t>
  </si>
  <si>
    <t>小红书</t>
  </si>
  <si>
    <t>微博</t>
  </si>
  <si>
    <t>今日头条</t>
  </si>
  <si>
    <t>bilibili</t>
  </si>
  <si>
    <t>视频号</t>
  </si>
  <si>
    <t>快手</t>
  </si>
  <si>
    <t>汽车垂媒</t>
  </si>
  <si>
    <t>其他</t>
  </si>
  <si>
    <t>2026.6.1 - 2026.6.30</t>
    <phoneticPr fontId="3" type="noConversion"/>
  </si>
  <si>
    <t>奥迪E7X</t>
    <phoneticPr fontId="3" type="noConversion"/>
  </si>
  <si>
    <t>小米YU7</t>
    <phoneticPr fontId="3" type="noConversion"/>
  </si>
  <si>
    <t>Model Y</t>
    <phoneticPr fontId="3" type="noConversion"/>
  </si>
  <si>
    <t>问界M7</t>
    <phoneticPr fontId="3" type="noConversion"/>
  </si>
  <si>
    <t>奥迪Q6L e-tron</t>
    <phoneticPr fontId="3" type="noConversion"/>
  </si>
  <si>
    <t>奥迪E7X、小米YU7、Model Y、问界M7、奥迪Q6L e-tron</t>
    <phoneticPr fontId="3" type="noConversion"/>
  </si>
  <si>
    <t>口碑主贴+全网评论</t>
    <phoneticPr fontId="3" type="noConversion"/>
  </si>
  <si>
    <t>垂媒车主口碑</t>
  </si>
  <si>
    <t>垂媒车主口碑</t>
    <phoneticPr fontId="3" type="noConversion"/>
  </si>
  <si>
    <t>抖音</t>
    <phoneticPr fontId="3" type="noConversion"/>
  </si>
  <si>
    <t>-</t>
    <phoneticPr fontId="3" type="noConversion"/>
  </si>
  <si>
    <t>* 垂媒车主口碑数据量级过小</t>
    <phoneticPr fontId="3" type="noConversion"/>
  </si>
  <si>
    <t>属性层级情感对比</t>
    <phoneticPr fontId="3" type="noConversion"/>
  </si>
  <si>
    <t>全网</t>
  </si>
  <si>
    <t>平均NSR</t>
  </si>
  <si>
    <t>vs.全网平均NSR</t>
    <phoneticPr fontId="3" type="noConversion"/>
  </si>
  <si>
    <t>价格</t>
  </si>
  <si>
    <t>动力与操控</t>
  </si>
  <si>
    <t>外观</t>
  </si>
  <si>
    <t>安全</t>
  </si>
  <si>
    <t>内饰</t>
  </si>
  <si>
    <t>辅助/自动驾驶</t>
  </si>
  <si>
    <t>空间</t>
  </si>
  <si>
    <t>舒适性</t>
  </si>
  <si>
    <t>质量</t>
  </si>
  <si>
    <t>用户服务</t>
  </si>
  <si>
    <t>智能座舱</t>
  </si>
  <si>
    <t>用车成本</t>
  </si>
  <si>
    <t>Model Y</t>
  </si>
  <si>
    <t>问界M7</t>
  </si>
  <si>
    <t>奥迪E7X</t>
  </si>
  <si>
    <t>奥迪Q6L e-tron</t>
  </si>
  <si>
    <t>品牌口碑</t>
  </si>
  <si>
    <t>配置</t>
  </si>
  <si>
    <t>用车场景</t>
  </si>
  <si>
    <t>微博</t>
    <phoneticPr fontId="3" type="noConversion"/>
  </si>
  <si>
    <t>小红书</t>
    <phoneticPr fontId="3" type="noConversion"/>
  </si>
  <si>
    <t>bilibili</t>
    <phoneticPr fontId="3" type="noConversion"/>
  </si>
  <si>
    <t>视频号</t>
    <phoneticPr fontId="3" type="noConversion"/>
  </si>
  <si>
    <r>
      <rPr>
        <b/>
        <sz val="12"/>
        <color theme="1"/>
        <rFont val="微软雅黑"/>
        <family val="2"/>
        <charset val="134"/>
      </rPr>
      <t>整体热度</t>
    </r>
    <r>
      <rPr>
        <sz val="12"/>
        <color theme="1"/>
        <rFont val="微软雅黑"/>
        <family val="2"/>
        <charset val="134"/>
      </rPr>
      <t>：小米YU7声量与互动量均呈断层领先，Model Y紧随其后；奥迪E7X声量低于问界M7，但互动量实现超越；奥迪Q6L e-tron两项指标均处于低位，传播声量相对平淡。</t>
    </r>
    <phoneticPr fontId="3" type="noConversion"/>
  </si>
  <si>
    <r>
      <rPr>
        <b/>
        <sz val="12"/>
        <color theme="1"/>
        <rFont val="微软雅黑"/>
        <family val="2"/>
        <charset val="134"/>
      </rPr>
      <t>平台分布</t>
    </r>
    <r>
      <rPr>
        <sz val="12"/>
        <color theme="1"/>
        <rFont val="微软雅黑"/>
        <family val="2"/>
        <charset val="134"/>
      </rPr>
      <t>：抖音是各车型流量核心阵地，小米YU7在抖音声量与互动量均断层领先；微博是奥迪E7X优势平台，互动量显著高于Model Y及问界M7。</t>
    </r>
    <phoneticPr fontId="3" type="noConversion"/>
  </si>
  <si>
    <r>
      <rPr>
        <b/>
        <sz val="12"/>
        <color theme="1"/>
        <rFont val="微软雅黑"/>
        <family val="2"/>
        <charset val="134"/>
      </rPr>
      <t>分平台情感对比</t>
    </r>
    <r>
      <rPr>
        <sz val="12"/>
        <color theme="1"/>
        <rFont val="微软雅黑"/>
        <family val="2"/>
        <charset val="134"/>
      </rPr>
      <t>：垂媒车主口碑各车型普遍优于全网，奥迪E7X表现最佳；抖音端奥迪双车与问界M7情感维持健康，小米YU7与Model Y对立情绪更为显著。</t>
    </r>
    <phoneticPr fontId="3" type="noConversion"/>
  </si>
  <si>
    <r>
      <rPr>
        <b/>
        <sz val="12"/>
        <color theme="1"/>
        <rFont val="微软雅黑"/>
        <family val="2"/>
        <charset val="134"/>
      </rPr>
      <t>整体情感对比</t>
    </r>
    <r>
      <rPr>
        <sz val="12"/>
        <color theme="1"/>
        <rFont val="微软雅黑"/>
        <family val="2"/>
        <charset val="134"/>
      </rPr>
      <t>：全网情感方面，奥迪E7X、问界M7与奥迪Q6L e-tron正面声量占比较高、负面率低，共同处于第一梯队；小米YU7与Model Y争议声量则相对突出。</t>
    </r>
    <phoneticPr fontId="3" type="noConversion"/>
  </si>
  <si>
    <t>负面原话</t>
    <phoneticPr fontId="3" type="noConversion"/>
  </si>
  <si>
    <t>Model Y：“我感觉他不安全，事故多"</t>
    <phoneticPr fontId="3" type="noConversion"/>
  </si>
  <si>
    <t>Model Y："悬挂硬，座椅硬，头枕小"</t>
    <phoneticPr fontId="3" type="noConversion"/>
  </si>
  <si>
    <r>
      <rPr>
        <b/>
        <sz val="12"/>
        <color theme="1"/>
        <rFont val="微软雅黑"/>
        <family val="2"/>
        <charset val="134"/>
      </rPr>
      <t>属性层级情感对比</t>
    </r>
    <r>
      <rPr>
        <sz val="12"/>
        <color theme="1"/>
        <rFont val="微软雅黑"/>
        <family val="2"/>
        <charset val="134"/>
      </rPr>
      <t>：外观、空间是各车型普遍优势；价格、质量与用户服务为共性短板，尤其小米YU7与Model Y在上述维度负面情绪集中。奥迪E7X、问界M7与奥迪Q6L e-tron在多数属性上情感健康度处于高位区间。垂媒口碑整体优于全网，抖音端情感表现较全网普遍下滑。</t>
    </r>
    <phoneticPr fontId="3" type="noConversion"/>
  </si>
  <si>
    <t>小米YU7：“车是好车，25万性价比真不高""小米定价太贵了点”</t>
    <phoneticPr fontId="3" type="noConversion"/>
  </si>
  <si>
    <t>小米YU7："因为小米烧的确实太多了，而且会越来越多""小米的车，一点都靠不住"  |  特斯拉："毛坯车，用料真差劲""就这个质量，还搁那吹呢？"</t>
    <phoneticPr fontId="3" type="noConversion"/>
  </si>
  <si>
    <t>小米YU7："小米售后出了名的 不信邪""售后忽悠这一块真的绝了……"</t>
    <phoneticPr fontId="3" type="noConversion"/>
  </si>
  <si>
    <t>小米YU7："辅助驾驶还是比较一般的，调头的时候车道识别也会出现问题…有时候识别到电动车或者调头车辆会直接刹停"</t>
    <phoneticPr fontId="3" type="noConversion"/>
  </si>
  <si>
    <t>小米YU7："车好开，服务差了点意思""就是提车等车时间长</t>
    <phoneticPr fontId="3" type="noConversion"/>
  </si>
  <si>
    <t>小米YU7："车是真的帅，贵也是真的贵"  |  Model Y："又小又贵续航又低"  |  问界M7："除了溢价高点，别的没啥毛病""问界的唯一缺点就是贵"</t>
    <phoneticPr fontId="3" type="noConversion"/>
  </si>
  <si>
    <t>小米YU7："把Yu7gt 座椅填充和音箱换了吧 太一般了"</t>
    <phoneticPr fontId="3" type="noConversion"/>
  </si>
  <si>
    <t>Model Y："要空间没有空间，毛坯房"</t>
    <phoneticPr fontId="3" type="noConversion"/>
  </si>
  <si>
    <t>Model Y："这个车好像事故率挺高的"</t>
    <phoneticPr fontId="3" type="noConversion"/>
  </si>
  <si>
    <t>奥迪Q6L e-tron："奥迪的乾坤智驾好像是阉割版的"</t>
    <phoneticPr fontId="3" type="noConversion"/>
  </si>
  <si>
    <t>小米YU7："感觉小米公司处理问题扣扣搜搜的"</t>
    <phoneticPr fontId="3" type="noConversion"/>
  </si>
  <si>
    <t>小米YU7："小米真的不靠谱"  |  Model Y："特斯拉问题也不少"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</si>
</sst>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 x14ac:knownFonts="1"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10"/>
      <name val="微软雅黑"/>
      <family val="2"/>
      <charset val="134"/>
    </font>
    <font>
      <sz val="10"/>
      <color theme="0" tint="-0.499984740745262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/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9" fontId="0" fillId="0" borderId="0" xfId="1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Border="1">
      <alignment vertical="center"/>
    </xf>
    <xf numFmtId="9" fontId="0" fillId="0" borderId="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1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0" fillId="0" borderId="3" xfId="0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7" fillId="3" borderId="0" xfId="0" applyFont="1" applyFill="1">
      <alignment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9" fontId="8" fillId="0" borderId="0" xfId="1" applyFont="1" applyBorder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9" fontId="8" fillId="0" borderId="0" xfId="1" applyFont="1" applyBorder="1" applyAlignment="1">
      <alignment horizontal="left" vertical="center"/>
    </xf>
  </cellXfs>
  <cellStyles count="3">
    <cellStyle name="百分比" xfId="1" builtinId="5"/>
    <cellStyle name="常规" xfId="0" builtinId="0"/>
    <cellStyle name="常规 2" xfId="2" xr:uid="{E06FE369-0FA6-49C7-ADFB-9CE653F05D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B094-A4A0-465E-B738-7057F667F3DE}">
  <dimension ref="A6:B15"/>
  <sheetViews>
    <sheetView zoomScale="115" zoomScaleNormal="115" workbookViewId="0">
      <selection activeCell="B22" sqref="B22"/>
    </sheetView>
  </sheetViews>
  <sheetFormatPr defaultRowHeight="14.5" x14ac:dyDescent="0.4"/>
  <cols>
    <col min="1" max="1" width="14.25" customWidth="1"/>
    <col min="2" max="2" width="76.75" customWidth="1"/>
  </cols>
  <sheetData>
    <row r="6" spans="1:2" x14ac:dyDescent="0.4">
      <c r="A6" s="1" t="s">
        <v>4</v>
      </c>
      <c r="B6" t="s">
        <v>5</v>
      </c>
    </row>
    <row r="7" spans="1:2" x14ac:dyDescent="0.4">
      <c r="B7" t="s">
        <v>6</v>
      </c>
    </row>
    <row r="8" spans="1:2" x14ac:dyDescent="0.4">
      <c r="B8" t="s">
        <v>7</v>
      </c>
    </row>
    <row r="9" spans="1:2" x14ac:dyDescent="0.4">
      <c r="A9" s="1" t="s">
        <v>8</v>
      </c>
      <c r="B9" t="s">
        <v>29</v>
      </c>
    </row>
    <row r="10" spans="1:2" x14ac:dyDescent="0.4">
      <c r="A10" s="1" t="s">
        <v>18</v>
      </c>
      <c r="B10" t="s">
        <v>35</v>
      </c>
    </row>
    <row r="11" spans="1:2" x14ac:dyDescent="0.4">
      <c r="A11" s="1" t="s">
        <v>17</v>
      </c>
      <c r="B11" t="s">
        <v>36</v>
      </c>
    </row>
    <row r="13" spans="1:2" x14ac:dyDescent="0.4">
      <c r="A13" s="1" t="s">
        <v>13</v>
      </c>
      <c r="B13" t="s">
        <v>14</v>
      </c>
    </row>
    <row r="14" spans="1:2" x14ac:dyDescent="0.4">
      <c r="B14" t="s">
        <v>15</v>
      </c>
    </row>
    <row r="15" spans="1:2" x14ac:dyDescent="0.4">
      <c r="B15" t="s">
        <v>16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0EC3-5C06-4CA2-BA2B-E64838BFC51C}">
  <dimension ref="A1:AD62"/>
  <sheetViews>
    <sheetView showGridLines="0" tabSelected="1" zoomScale="85" zoomScaleNormal="85" workbookViewId="0">
      <selection activeCell="I35" sqref="I35"/>
    </sheetView>
  </sheetViews>
  <sheetFormatPr defaultColWidth="10.58203125" defaultRowHeight="14.5" x14ac:dyDescent="0.4"/>
  <cols>
    <col min="1" max="1" width="15.58203125" customWidth="1"/>
    <col min="2" max="12" width="10.58203125" customWidth="1"/>
    <col min="13" max="13" width="15.58203125" customWidth="1"/>
    <col min="14" max="16" width="10.58203125" style="11" customWidth="1"/>
    <col min="17" max="21" width="10.58203125" customWidth="1"/>
    <col min="22" max="22" width="12.58203125" customWidth="1"/>
    <col min="23" max="23" width="12.58203125" style="11" customWidth="1"/>
    <col min="24" max="25" width="12.58203125" customWidth="1"/>
    <col min="26" max="26" width="12.58203125" style="11" customWidth="1"/>
    <col min="27" max="27" width="12.58203125" customWidth="1"/>
    <col min="28" max="28" width="12.58203125" style="11" customWidth="1"/>
    <col min="29" max="30" width="15.58203125" customWidth="1"/>
  </cols>
  <sheetData>
    <row r="1" spans="1:29" ht="16.5" x14ac:dyDescent="0.4">
      <c r="A1" s="14" t="s">
        <v>69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6"/>
      <c r="M1" s="6"/>
      <c r="N1" s="16"/>
      <c r="O1" s="16"/>
      <c r="P1" s="16"/>
      <c r="Q1" s="6"/>
      <c r="R1" s="6"/>
      <c r="S1" s="6"/>
      <c r="T1" s="6"/>
      <c r="U1" s="6"/>
      <c r="V1" s="6"/>
    </row>
    <row r="2" spans="1:29" ht="16.5" x14ac:dyDescent="0.4">
      <c r="A2" s="17" t="s">
        <v>70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29" ht="16.5" x14ac:dyDescent="0.4">
      <c r="A3" s="17" t="s">
        <v>72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29" ht="16.5" x14ac:dyDescent="0.4">
      <c r="A4" s="17" t="s">
        <v>71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29" ht="16.5" x14ac:dyDescent="0.4">
      <c r="A5" s="17" t="s">
        <v>76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29" ht="11.65" customHeight="1" x14ac:dyDescent="0.4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7"/>
      <c r="M6" s="7"/>
      <c r="N6" s="21"/>
      <c r="O6" s="21"/>
      <c r="P6" s="21"/>
      <c r="Q6" s="7"/>
      <c r="R6" s="7"/>
      <c r="S6" s="7"/>
      <c r="T6" s="7"/>
      <c r="U6" s="7"/>
      <c r="V6" s="7"/>
    </row>
    <row r="9" spans="1:29" ht="16.5" x14ac:dyDescent="0.4">
      <c r="A9" s="32" t="s">
        <v>11</v>
      </c>
      <c r="B9" s="32"/>
      <c r="C9" s="32"/>
      <c r="D9" s="32"/>
      <c r="E9" s="32"/>
      <c r="F9" s="32"/>
      <c r="G9" s="32"/>
      <c r="H9" s="32"/>
      <c r="I9" s="32"/>
      <c r="J9" s="32"/>
      <c r="K9" s="32"/>
      <c r="M9" s="32" t="s">
        <v>10</v>
      </c>
      <c r="N9" s="32"/>
      <c r="O9" s="32"/>
      <c r="P9" s="32"/>
      <c r="Q9" s="32"/>
      <c r="R9" s="5"/>
      <c r="S9" s="5"/>
      <c r="T9" s="5"/>
      <c r="V9" s="32" t="s">
        <v>42</v>
      </c>
      <c r="W9" s="32"/>
      <c r="X9" s="32"/>
      <c r="Y9" s="32"/>
      <c r="Z9" s="32"/>
      <c r="AA9" s="32"/>
      <c r="AB9" s="32"/>
    </row>
    <row r="10" spans="1:29" x14ac:dyDescent="0.4">
      <c r="W10"/>
      <c r="Z10"/>
      <c r="AB10"/>
    </row>
    <row r="11" spans="1:29" x14ac:dyDescent="0.4">
      <c r="A11" s="4" t="s">
        <v>12</v>
      </c>
      <c r="B11" s="4" t="s">
        <v>9</v>
      </c>
      <c r="C11" s="4" t="s">
        <v>20</v>
      </c>
      <c r="D11" s="4" t="s">
        <v>21</v>
      </c>
      <c r="E11" s="4" t="s">
        <v>22</v>
      </c>
      <c r="F11" s="4" t="s">
        <v>24</v>
      </c>
      <c r="G11" s="4" t="s">
        <v>25</v>
      </c>
      <c r="H11" s="4" t="s">
        <v>26</v>
      </c>
      <c r="I11" s="4" t="s">
        <v>23</v>
      </c>
      <c r="J11" s="4" t="s">
        <v>27</v>
      </c>
      <c r="K11" s="4" t="s">
        <v>28</v>
      </c>
      <c r="M11" s="3" t="s">
        <v>9</v>
      </c>
      <c r="N11" s="4" t="s">
        <v>0</v>
      </c>
      <c r="O11" s="4" t="s">
        <v>2</v>
      </c>
      <c r="P11" s="4" t="s">
        <v>3</v>
      </c>
      <c r="Q11" s="4" t="s">
        <v>1</v>
      </c>
      <c r="R11" s="29"/>
      <c r="S11" s="29"/>
      <c r="T11" s="29"/>
      <c r="V11" s="3" t="s">
        <v>43</v>
      </c>
      <c r="W11" s="4" t="s">
        <v>31</v>
      </c>
      <c r="X11" s="4" t="s">
        <v>58</v>
      </c>
      <c r="Y11" s="4" t="s">
        <v>59</v>
      </c>
      <c r="Z11" s="4" t="s">
        <v>60</v>
      </c>
      <c r="AA11" s="28" t="s">
        <v>61</v>
      </c>
      <c r="AB11" s="4" t="s">
        <v>44</v>
      </c>
      <c r="AC11" s="4" t="s">
        <v>73</v>
      </c>
    </row>
    <row r="12" spans="1:29" x14ac:dyDescent="0.4">
      <c r="A12" t="s">
        <v>31</v>
      </c>
      <c r="B12" s="12">
        <v>1300345</v>
      </c>
      <c r="C12" s="12">
        <v>901729</v>
      </c>
      <c r="D12" s="12">
        <v>140498</v>
      </c>
      <c r="E12" s="12">
        <v>74294</v>
      </c>
      <c r="F12" s="12">
        <v>59092</v>
      </c>
      <c r="G12" s="12">
        <v>44588</v>
      </c>
      <c r="H12" s="12">
        <v>25393</v>
      </c>
      <c r="I12" s="12">
        <v>22519</v>
      </c>
      <c r="J12" s="12">
        <v>12552</v>
      </c>
      <c r="K12" s="12">
        <v>19680</v>
      </c>
      <c r="M12" t="s">
        <v>31</v>
      </c>
      <c r="N12" s="8">
        <v>0.45442176870748302</v>
      </c>
      <c r="O12" s="8">
        <v>0.30544217687074832</v>
      </c>
      <c r="P12" s="8">
        <v>0.24013605442176872</v>
      </c>
      <c r="Q12" s="2">
        <v>0.30852105778648387</v>
      </c>
      <c r="R12" s="2"/>
      <c r="S12" s="2"/>
      <c r="T12" s="2"/>
      <c r="V12" t="s">
        <v>48</v>
      </c>
      <c r="W12" s="8">
        <v>0.72680412371134029</v>
      </c>
      <c r="X12" s="8">
        <v>0.56122448979591832</v>
      </c>
      <c r="Y12" s="8">
        <v>0.83847980997624705</v>
      </c>
      <c r="Z12" s="8">
        <v>0.72261682242990666</v>
      </c>
      <c r="AA12" s="8">
        <v>0.94413407821229067</v>
      </c>
      <c r="AB12" s="26">
        <f>AVERAGE(W12:AA12)</f>
        <v>0.75865186482514058</v>
      </c>
    </row>
    <row r="13" spans="1:29" x14ac:dyDescent="0.4">
      <c r="A13" t="s">
        <v>32</v>
      </c>
      <c r="B13" s="12">
        <v>730202</v>
      </c>
      <c r="C13" s="12">
        <v>427206</v>
      </c>
      <c r="D13" s="12">
        <v>137260</v>
      </c>
      <c r="E13" s="12">
        <v>20150</v>
      </c>
      <c r="F13" s="12">
        <v>15451</v>
      </c>
      <c r="G13" s="12">
        <v>43161</v>
      </c>
      <c r="H13" s="12">
        <v>19739</v>
      </c>
      <c r="I13" s="12">
        <v>34073</v>
      </c>
      <c r="J13" s="12">
        <v>11898</v>
      </c>
      <c r="K13" s="12">
        <v>21264</v>
      </c>
      <c r="M13" t="s">
        <v>32</v>
      </c>
      <c r="N13" s="10">
        <v>0.40948419301164724</v>
      </c>
      <c r="O13" s="10">
        <v>0.36971713810316142</v>
      </c>
      <c r="P13" s="10">
        <v>0.22079866888519134</v>
      </c>
      <c r="Q13" s="9">
        <v>0.29936642027455118</v>
      </c>
      <c r="R13" s="9"/>
      <c r="S13" s="9"/>
      <c r="T13" s="9"/>
      <c r="V13" t="s">
        <v>47</v>
      </c>
      <c r="W13" s="8">
        <v>0.66187050359712218</v>
      </c>
      <c r="X13" s="8">
        <v>0.52709359605911332</v>
      </c>
      <c r="Y13" s="8">
        <v>0.54545454545454541</v>
      </c>
      <c r="Z13" s="8">
        <v>0.89724961079398025</v>
      </c>
      <c r="AA13" s="8">
        <v>0.78461538461538471</v>
      </c>
      <c r="AB13" s="26">
        <f t="shared" ref="AB13:AB25" si="0">AVERAGE(W13:AA13)</f>
        <v>0.68325672810402927</v>
      </c>
    </row>
    <row r="14" spans="1:29" x14ac:dyDescent="0.4">
      <c r="A14" t="s">
        <v>33</v>
      </c>
      <c r="B14" s="12">
        <v>252720</v>
      </c>
      <c r="C14" s="12">
        <v>159650</v>
      </c>
      <c r="D14" s="12">
        <v>36410</v>
      </c>
      <c r="E14" s="12">
        <v>11830</v>
      </c>
      <c r="F14" s="12">
        <v>3393</v>
      </c>
      <c r="G14" s="12">
        <v>5420</v>
      </c>
      <c r="H14" s="12">
        <v>2493</v>
      </c>
      <c r="I14" s="12">
        <v>20197</v>
      </c>
      <c r="J14" s="12">
        <v>5583</v>
      </c>
      <c r="K14" s="12">
        <v>7744</v>
      </c>
      <c r="M14" t="s">
        <v>33</v>
      </c>
      <c r="N14" s="10">
        <v>0.64734032762746185</v>
      </c>
      <c r="O14" s="10">
        <v>0.24001472482974415</v>
      </c>
      <c r="P14" s="10">
        <v>0.11264494754279404</v>
      </c>
      <c r="Q14" s="9">
        <v>0.70356018406393794</v>
      </c>
      <c r="R14" s="9"/>
      <c r="S14" s="9"/>
      <c r="T14" s="9"/>
      <c r="V14" t="s">
        <v>46</v>
      </c>
      <c r="W14" s="8">
        <v>-0.18055555555555555</v>
      </c>
      <c r="X14" s="8">
        <v>6.5830721003134751E-2</v>
      </c>
      <c r="Y14" s="8">
        <v>0.323671497584541</v>
      </c>
      <c r="Z14" s="8">
        <v>0.62485875706214689</v>
      </c>
      <c r="AA14" s="8">
        <v>0.51351351351351338</v>
      </c>
      <c r="AB14" s="26">
        <f t="shared" si="0"/>
        <v>0.26946378672155608</v>
      </c>
      <c r="AC14" t="s">
        <v>77</v>
      </c>
    </row>
    <row r="15" spans="1:29" x14ac:dyDescent="0.4">
      <c r="A15" t="s">
        <v>30</v>
      </c>
      <c r="B15" s="12">
        <v>235579</v>
      </c>
      <c r="C15" s="12">
        <v>103589</v>
      </c>
      <c r="D15" s="12">
        <v>35439</v>
      </c>
      <c r="E15" s="12">
        <v>69977</v>
      </c>
      <c r="F15" s="12">
        <v>2562</v>
      </c>
      <c r="G15" s="12">
        <v>6083</v>
      </c>
      <c r="H15" s="12">
        <v>1658</v>
      </c>
      <c r="I15" s="12">
        <v>7045</v>
      </c>
      <c r="J15" s="12">
        <v>6052</v>
      </c>
      <c r="K15" s="12">
        <v>3174</v>
      </c>
      <c r="M15" t="s">
        <v>30</v>
      </c>
      <c r="N15" s="10">
        <v>0.73518571023532753</v>
      </c>
      <c r="O15" s="10">
        <v>0.16040544371987525</v>
      </c>
      <c r="P15" s="10">
        <v>0.10440884604479728</v>
      </c>
      <c r="Q15" s="9">
        <v>0.75128746306458427</v>
      </c>
      <c r="R15" s="9"/>
      <c r="S15" s="9"/>
      <c r="T15" s="9"/>
      <c r="V15" t="s">
        <v>62</v>
      </c>
      <c r="W15" s="8">
        <v>0.41414141414141409</v>
      </c>
      <c r="X15" s="8">
        <v>0.4581280788177341</v>
      </c>
      <c r="Y15" s="8">
        <v>0.90062111801242228</v>
      </c>
      <c r="Z15" s="8">
        <v>0.64585465711361312</v>
      </c>
      <c r="AA15" s="8">
        <v>0.79999999999999993</v>
      </c>
      <c r="AB15" s="26">
        <f t="shared" si="0"/>
        <v>0.64374905361703672</v>
      </c>
    </row>
    <row r="16" spans="1:29" x14ac:dyDescent="0.4">
      <c r="A16" t="s">
        <v>34</v>
      </c>
      <c r="B16" s="12">
        <v>20741</v>
      </c>
      <c r="C16" s="12">
        <v>7732</v>
      </c>
      <c r="D16" s="12">
        <v>7868</v>
      </c>
      <c r="E16" s="12">
        <v>1016</v>
      </c>
      <c r="F16" s="12">
        <v>25</v>
      </c>
      <c r="G16" s="12">
        <v>843</v>
      </c>
      <c r="H16" s="12">
        <v>351</v>
      </c>
      <c r="I16" s="12">
        <v>1554</v>
      </c>
      <c r="J16" s="12">
        <v>561</v>
      </c>
      <c r="K16" s="12">
        <v>791</v>
      </c>
      <c r="M16" t="s">
        <v>34</v>
      </c>
      <c r="N16" s="10">
        <v>0.62980769230769229</v>
      </c>
      <c r="O16" s="10">
        <v>0.30384615384615382</v>
      </c>
      <c r="P16" s="10">
        <v>6.6346153846153846E-2</v>
      </c>
      <c r="Q16" s="9">
        <v>0.80939226519337015</v>
      </c>
      <c r="R16" s="9"/>
      <c r="S16" s="9"/>
      <c r="T16" s="9"/>
      <c r="V16" t="s">
        <v>50</v>
      </c>
      <c r="W16" s="8">
        <v>0.49999999999999989</v>
      </c>
      <c r="X16" s="8">
        <v>0.2946428571428571</v>
      </c>
      <c r="Y16" s="8">
        <v>0.81666666666666676</v>
      </c>
      <c r="Z16" s="8">
        <v>0.8598028477546551</v>
      </c>
      <c r="AA16" s="8">
        <v>0.79591836734693866</v>
      </c>
      <c r="AB16" s="26">
        <f t="shared" si="0"/>
        <v>0.6534061477822235</v>
      </c>
    </row>
    <row r="17" spans="1:30" x14ac:dyDescent="0.4">
      <c r="N17"/>
      <c r="O17"/>
      <c r="P17"/>
      <c r="V17" t="s">
        <v>53</v>
      </c>
      <c r="W17" s="8">
        <v>0.4285714285714286</v>
      </c>
      <c r="X17" s="8">
        <v>0.27564102564102561</v>
      </c>
      <c r="Y17" s="8">
        <v>0.83628318584070815</v>
      </c>
      <c r="Z17" s="8">
        <v>0.88263473053892216</v>
      </c>
      <c r="AA17" s="8">
        <v>0.75757575757575768</v>
      </c>
      <c r="AB17" s="26">
        <f t="shared" si="0"/>
        <v>0.63614122563356845</v>
      </c>
    </row>
    <row r="18" spans="1:30" x14ac:dyDescent="0.4">
      <c r="V18" t="s">
        <v>63</v>
      </c>
      <c r="W18" s="8">
        <v>0.32258064516129031</v>
      </c>
      <c r="X18" s="8">
        <v>0.32692307692307693</v>
      </c>
      <c r="Y18" s="8">
        <v>0.75</v>
      </c>
      <c r="Z18" s="8">
        <v>0.78517397881996964</v>
      </c>
      <c r="AA18" s="8">
        <v>1</v>
      </c>
      <c r="AB18" s="26">
        <f t="shared" si="0"/>
        <v>0.6369355401808674</v>
      </c>
    </row>
    <row r="19" spans="1:30" x14ac:dyDescent="0.4">
      <c r="A19" s="4" t="s">
        <v>19</v>
      </c>
      <c r="B19" s="4" t="s">
        <v>9</v>
      </c>
      <c r="C19" s="4" t="s">
        <v>20</v>
      </c>
      <c r="D19" s="4" t="s">
        <v>21</v>
      </c>
      <c r="E19" s="4" t="s">
        <v>22</v>
      </c>
      <c r="F19" s="4" t="s">
        <v>24</v>
      </c>
      <c r="G19" s="4" t="s">
        <v>25</v>
      </c>
      <c r="H19" s="4" t="s">
        <v>26</v>
      </c>
      <c r="I19" s="4" t="s">
        <v>23</v>
      </c>
      <c r="J19" s="4" t="s">
        <v>27</v>
      </c>
      <c r="K19" s="4" t="s">
        <v>28</v>
      </c>
      <c r="M19" s="3" t="s">
        <v>38</v>
      </c>
      <c r="N19" s="4" t="s">
        <v>0</v>
      </c>
      <c r="O19" s="4" t="s">
        <v>2</v>
      </c>
      <c r="P19" s="4" t="s">
        <v>3</v>
      </c>
      <c r="Q19" s="4" t="s">
        <v>1</v>
      </c>
      <c r="R19" s="29"/>
      <c r="S19" s="29"/>
      <c r="T19" s="29"/>
      <c r="V19" t="s">
        <v>56</v>
      </c>
      <c r="W19" s="8">
        <v>0.55223880597014929</v>
      </c>
      <c r="X19" s="8">
        <v>0.36842105263157887</v>
      </c>
      <c r="Y19" s="8">
        <v>0.78068739770867435</v>
      </c>
      <c r="Z19" s="8">
        <v>0.67708333333333337</v>
      </c>
      <c r="AA19" s="8">
        <v>0.83999999999999986</v>
      </c>
      <c r="AB19" s="26">
        <f t="shared" si="0"/>
        <v>0.64368611792874719</v>
      </c>
    </row>
    <row r="20" spans="1:30" x14ac:dyDescent="0.4">
      <c r="A20" t="s">
        <v>31</v>
      </c>
      <c r="B20" s="12">
        <v>9260761</v>
      </c>
      <c r="C20" s="12">
        <v>7459254</v>
      </c>
      <c r="D20" s="12">
        <v>497808</v>
      </c>
      <c r="E20" s="12">
        <v>381273</v>
      </c>
      <c r="F20" s="12">
        <v>438503</v>
      </c>
      <c r="G20" s="12">
        <v>225022</v>
      </c>
      <c r="H20" s="12">
        <v>156115</v>
      </c>
      <c r="I20" s="12">
        <v>29199</v>
      </c>
      <c r="J20" s="12">
        <v>26062</v>
      </c>
      <c r="K20" s="12">
        <v>47525</v>
      </c>
      <c r="M20" t="s">
        <v>31</v>
      </c>
      <c r="N20" s="8">
        <v>0.77693474962063735</v>
      </c>
      <c r="O20" s="8">
        <v>4.5523520485584217E-2</v>
      </c>
      <c r="P20" s="8">
        <v>0.17754172989377845</v>
      </c>
      <c r="Q20" s="2">
        <v>0.62798092209856915</v>
      </c>
      <c r="R20" s="2"/>
      <c r="S20" s="2"/>
      <c r="T20" s="2"/>
      <c r="V20" t="s">
        <v>52</v>
      </c>
      <c r="W20" s="8">
        <v>0.12903225806451613</v>
      </c>
      <c r="X20" s="8">
        <v>0.67521367521367515</v>
      </c>
      <c r="Y20" s="8">
        <v>0.87317073170731707</v>
      </c>
      <c r="Z20" s="8">
        <v>0.88908145580589248</v>
      </c>
      <c r="AA20" s="8">
        <v>1</v>
      </c>
      <c r="AB20" s="26">
        <f t="shared" si="0"/>
        <v>0.71329962415828019</v>
      </c>
    </row>
    <row r="21" spans="1:30" x14ac:dyDescent="0.4">
      <c r="A21" t="s">
        <v>32</v>
      </c>
      <c r="B21" s="12">
        <v>3519781</v>
      </c>
      <c r="C21" s="12">
        <v>2682744</v>
      </c>
      <c r="D21" s="12">
        <v>264216</v>
      </c>
      <c r="E21" s="12">
        <v>80886</v>
      </c>
      <c r="F21" s="12">
        <v>89854</v>
      </c>
      <c r="G21" s="12">
        <v>226849</v>
      </c>
      <c r="H21" s="12">
        <v>80533</v>
      </c>
      <c r="I21" s="12">
        <v>37800</v>
      </c>
      <c r="J21" s="12">
        <v>20802</v>
      </c>
      <c r="K21" s="12">
        <v>36097</v>
      </c>
      <c r="M21" t="s">
        <v>32</v>
      </c>
      <c r="N21" s="10">
        <v>0.74583590376310915</v>
      </c>
      <c r="O21" s="10">
        <v>7.7729796421961747E-2</v>
      </c>
      <c r="P21" s="10">
        <v>0.17643429981492906</v>
      </c>
      <c r="Q21" s="9">
        <v>0.61739130434782608</v>
      </c>
      <c r="R21" s="9"/>
      <c r="S21" s="9"/>
      <c r="T21" s="9"/>
      <c r="V21" t="s">
        <v>49</v>
      </c>
      <c r="W21" s="8">
        <v>0.1377777777777778</v>
      </c>
      <c r="X21" s="8">
        <v>-9.2485549132947958E-2</v>
      </c>
      <c r="Y21" s="8">
        <v>0.61702127659574468</v>
      </c>
      <c r="Z21" s="8">
        <v>0.50368550368550369</v>
      </c>
      <c r="AA21" s="8">
        <v>0.79591836734693866</v>
      </c>
      <c r="AB21" s="26">
        <f t="shared" si="0"/>
        <v>0.39238347525460338</v>
      </c>
      <c r="AC21" t="s">
        <v>74</v>
      </c>
    </row>
    <row r="22" spans="1:30" x14ac:dyDescent="0.4">
      <c r="A22" t="s">
        <v>30</v>
      </c>
      <c r="B22" s="12">
        <v>2169813</v>
      </c>
      <c r="C22" s="12">
        <v>1546529</v>
      </c>
      <c r="D22" s="12">
        <v>111512</v>
      </c>
      <c r="E22" s="12">
        <v>310158</v>
      </c>
      <c r="F22" s="12">
        <v>68422</v>
      </c>
      <c r="G22" s="12">
        <v>71400</v>
      </c>
      <c r="H22" s="12">
        <v>21823</v>
      </c>
      <c r="I22" s="12">
        <v>6657</v>
      </c>
      <c r="J22" s="12">
        <v>27610</v>
      </c>
      <c r="K22" s="12">
        <v>5702</v>
      </c>
      <c r="M22" t="s">
        <v>33</v>
      </c>
      <c r="N22" s="10">
        <v>0.79827798277982775</v>
      </c>
      <c r="O22" s="10">
        <v>7.3800738007380073E-2</v>
      </c>
      <c r="P22" s="10">
        <v>0.12792127921279212</v>
      </c>
      <c r="Q22" s="9">
        <v>0.72377158034528566</v>
      </c>
      <c r="R22" s="9"/>
      <c r="S22" s="9"/>
      <c r="T22" s="9"/>
      <c r="V22" t="s">
        <v>51</v>
      </c>
      <c r="W22" s="8">
        <v>0.1481481481481482</v>
      </c>
      <c r="X22" s="8">
        <v>9.6590909090909075E-2</v>
      </c>
      <c r="Y22" s="8">
        <v>0.59663865546218497</v>
      </c>
      <c r="Z22" s="8">
        <v>0.63835616438356169</v>
      </c>
      <c r="AA22" s="8">
        <v>0.7142857142857143</v>
      </c>
      <c r="AB22" s="26">
        <f t="shared" si="0"/>
        <v>0.43880391827410364</v>
      </c>
    </row>
    <row r="23" spans="1:30" x14ac:dyDescent="0.4">
      <c r="A23" t="s">
        <v>33</v>
      </c>
      <c r="B23" s="12">
        <v>1145264</v>
      </c>
      <c r="C23" s="12">
        <v>857502</v>
      </c>
      <c r="D23" s="12">
        <v>95748</v>
      </c>
      <c r="E23" s="12">
        <v>70244</v>
      </c>
      <c r="F23" s="12">
        <v>13941</v>
      </c>
      <c r="G23" s="12">
        <v>46306</v>
      </c>
      <c r="H23" s="12">
        <v>5988</v>
      </c>
      <c r="I23" s="12">
        <v>29367</v>
      </c>
      <c r="J23" s="12">
        <v>11908</v>
      </c>
      <c r="K23" s="12">
        <v>14260</v>
      </c>
      <c r="M23" t="s">
        <v>30</v>
      </c>
      <c r="N23" s="10">
        <v>0.82298136645962738</v>
      </c>
      <c r="O23" s="10">
        <v>8.0745341614906832E-2</v>
      </c>
      <c r="P23" s="10">
        <v>9.627329192546584E-2</v>
      </c>
      <c r="Q23" s="9">
        <v>0.79054054054054057</v>
      </c>
      <c r="R23" s="9"/>
      <c r="S23" s="9"/>
      <c r="T23" s="9"/>
      <c r="V23" t="s">
        <v>64</v>
      </c>
      <c r="W23" s="8">
        <v>0.27777777777777779</v>
      </c>
      <c r="X23" s="8">
        <v>0.57333333333333336</v>
      </c>
      <c r="Y23" s="8">
        <v>0.92366412213740468</v>
      </c>
      <c r="Z23" s="8">
        <v>0.95226730310262542</v>
      </c>
      <c r="AA23" s="8">
        <v>1</v>
      </c>
      <c r="AB23" s="26">
        <f t="shared" si="0"/>
        <v>0.74540850727022823</v>
      </c>
    </row>
    <row r="24" spans="1:30" x14ac:dyDescent="0.4">
      <c r="A24" t="s">
        <v>34</v>
      </c>
      <c r="B24" s="12">
        <v>55736</v>
      </c>
      <c r="C24" s="12">
        <v>15807</v>
      </c>
      <c r="D24" s="12">
        <v>14447</v>
      </c>
      <c r="E24" s="12">
        <v>13704</v>
      </c>
      <c r="F24" s="12">
        <v>67</v>
      </c>
      <c r="G24" s="12">
        <v>7257</v>
      </c>
      <c r="H24" s="12">
        <v>216</v>
      </c>
      <c r="I24" s="12">
        <v>454</v>
      </c>
      <c r="J24" s="12">
        <v>1827</v>
      </c>
      <c r="K24" s="12">
        <v>1957</v>
      </c>
      <c r="M24" t="s">
        <v>34</v>
      </c>
      <c r="N24" s="33" t="s">
        <v>41</v>
      </c>
      <c r="O24" s="33"/>
      <c r="P24" s="33"/>
      <c r="Q24" s="33"/>
      <c r="R24" s="25"/>
      <c r="S24" s="25"/>
      <c r="T24" s="25"/>
      <c r="V24" s="24" t="s">
        <v>54</v>
      </c>
      <c r="W24" s="8">
        <v>-0.36263736263736301</v>
      </c>
      <c r="X24" s="8">
        <v>-0.23076923076923078</v>
      </c>
      <c r="Y24" s="8">
        <v>0.1714285714285714</v>
      </c>
      <c r="Z24" s="8">
        <v>0.42622950819672134</v>
      </c>
      <c r="AA24" s="8">
        <v>0.5625</v>
      </c>
      <c r="AB24" s="26">
        <f t="shared" si="0"/>
        <v>0.11335029724373979</v>
      </c>
      <c r="AC24" t="s">
        <v>78</v>
      </c>
    </row>
    <row r="25" spans="1:30" x14ac:dyDescent="0.4">
      <c r="N25"/>
      <c r="O25"/>
      <c r="P25"/>
      <c r="V25" s="24" t="s">
        <v>55</v>
      </c>
      <c r="W25" s="8">
        <v>-0.50684931506849318</v>
      </c>
      <c r="X25" s="8">
        <v>0.19047619047619052</v>
      </c>
      <c r="Y25" s="8">
        <v>0.53846153846153844</v>
      </c>
      <c r="Z25" s="8">
        <v>0.54411764705882348</v>
      </c>
      <c r="AA25" s="8">
        <v>0.33333333333333331</v>
      </c>
      <c r="AB25" s="26">
        <f t="shared" si="0"/>
        <v>0.2199078788522785</v>
      </c>
      <c r="AC25" t="s">
        <v>79</v>
      </c>
    </row>
    <row r="26" spans="1:30" x14ac:dyDescent="0.4">
      <c r="N26"/>
      <c r="O26"/>
      <c r="P26"/>
      <c r="V26" s="24" t="s">
        <v>57</v>
      </c>
      <c r="W26" s="8">
        <v>0.46031746031746035</v>
      </c>
      <c r="X26" s="8">
        <v>0.33707865168539325</v>
      </c>
      <c r="Y26" s="8">
        <v>0.4102564102564103</v>
      </c>
      <c r="Z26" s="8">
        <v>0.33333333333333331</v>
      </c>
      <c r="AA26" s="8">
        <v>0.75000000000000011</v>
      </c>
      <c r="AB26" s="26">
        <f>AVERAGE(W26:AA26)</f>
        <v>0.45819717111851943</v>
      </c>
    </row>
    <row r="27" spans="1:30" x14ac:dyDescent="0.4">
      <c r="M27" s="3" t="s">
        <v>39</v>
      </c>
      <c r="N27" s="4" t="s">
        <v>0</v>
      </c>
      <c r="O27" s="4" t="s">
        <v>2</v>
      </c>
      <c r="P27" s="4" t="s">
        <v>3</v>
      </c>
      <c r="Q27" s="4" t="s">
        <v>1</v>
      </c>
      <c r="R27" s="29"/>
      <c r="S27" s="29"/>
      <c r="T27" s="29"/>
    </row>
    <row r="28" spans="1:30" x14ac:dyDescent="0.4">
      <c r="M28" t="s">
        <v>31</v>
      </c>
      <c r="N28" s="8">
        <v>0.31799591002044991</v>
      </c>
      <c r="O28" s="8">
        <v>0.41513292433537835</v>
      </c>
      <c r="P28" s="8">
        <v>0.26687116564417179</v>
      </c>
      <c r="Q28" s="2">
        <v>8.7412587412587409E-2</v>
      </c>
      <c r="R28" s="2"/>
      <c r="S28" s="2"/>
      <c r="T28" s="2"/>
      <c r="V28" s="24"/>
      <c r="W28" s="23"/>
      <c r="X28" s="22"/>
      <c r="Y28" s="24"/>
      <c r="Z28" s="23"/>
      <c r="AA28" s="22"/>
      <c r="AB28" s="23"/>
    </row>
    <row r="29" spans="1:30" x14ac:dyDescent="0.4">
      <c r="M29" t="s">
        <v>32</v>
      </c>
      <c r="N29" s="10">
        <v>0.23391812865497075</v>
      </c>
      <c r="O29" s="10">
        <v>0.55146198830409354</v>
      </c>
      <c r="P29" s="10">
        <v>0.21461988304093568</v>
      </c>
      <c r="Q29" s="9">
        <v>4.3024771838331109E-2</v>
      </c>
      <c r="R29" s="9"/>
      <c r="S29" s="9"/>
      <c r="T29" s="9"/>
      <c r="V29" s="3" t="s">
        <v>38</v>
      </c>
      <c r="W29" s="4" t="s">
        <v>31</v>
      </c>
      <c r="X29" s="4" t="s">
        <v>58</v>
      </c>
      <c r="Y29" s="4" t="s">
        <v>59</v>
      </c>
      <c r="Z29" s="4" t="s">
        <v>60</v>
      </c>
      <c r="AA29" s="28" t="s">
        <v>61</v>
      </c>
      <c r="AB29" s="4" t="s">
        <v>44</v>
      </c>
      <c r="AC29" s="4" t="s">
        <v>45</v>
      </c>
      <c r="AD29" s="4" t="s">
        <v>73</v>
      </c>
    </row>
    <row r="30" spans="1:30" x14ac:dyDescent="0.4">
      <c r="M30" t="s">
        <v>33</v>
      </c>
      <c r="N30" s="10">
        <v>0.61401377075739161</v>
      </c>
      <c r="O30" s="10">
        <v>0.28149048197650872</v>
      </c>
      <c r="P30" s="10">
        <v>0.10449574726609964</v>
      </c>
      <c r="Q30" s="9">
        <v>0.7091319052987598</v>
      </c>
      <c r="R30" s="9"/>
      <c r="S30" s="9"/>
      <c r="T30" s="9"/>
      <c r="V30" t="s">
        <v>48</v>
      </c>
      <c r="W30" s="8">
        <v>0.86503067484662566</v>
      </c>
      <c r="X30" s="8">
        <v>0.69811320754716977</v>
      </c>
      <c r="Y30" s="8">
        <v>0.85567010309278357</v>
      </c>
      <c r="Z30" s="8">
        <v>0.82648401826483997</v>
      </c>
      <c r="AA30" s="8" t="s">
        <v>40</v>
      </c>
      <c r="AB30" s="26">
        <f t="shared" ref="AB30:AB44" si="1">AVERAGE(W30:AA30)</f>
        <v>0.8113245009378548</v>
      </c>
      <c r="AC30" s="27">
        <f t="shared" ref="AC30:AC44" si="2">AB30-AB12</f>
        <v>5.2672636112714222E-2</v>
      </c>
    </row>
    <row r="31" spans="1:30" x14ac:dyDescent="0.4">
      <c r="M31" t="s">
        <v>30</v>
      </c>
      <c r="N31" s="10">
        <v>0.66766723842195541</v>
      </c>
      <c r="O31" s="10">
        <v>0.22084048027444253</v>
      </c>
      <c r="P31" s="10">
        <v>0.11149228130360206</v>
      </c>
      <c r="Q31" s="9">
        <v>0.71381397908640631</v>
      </c>
      <c r="R31" s="9"/>
      <c r="S31" s="9"/>
      <c r="T31" s="9"/>
      <c r="V31" t="s">
        <v>47</v>
      </c>
      <c r="W31" s="8">
        <v>0.7846153846153846</v>
      </c>
      <c r="X31" s="8">
        <v>0.71686746987951799</v>
      </c>
      <c r="Y31" s="8">
        <v>0.5670103092783505</v>
      </c>
      <c r="Z31" s="8">
        <v>0.93181818181818188</v>
      </c>
      <c r="AA31" s="8" t="s">
        <v>40</v>
      </c>
      <c r="AB31" s="26">
        <f t="shared" si="1"/>
        <v>0.75007783639785863</v>
      </c>
      <c r="AC31" s="27">
        <f t="shared" si="2"/>
        <v>6.6821108293829368E-2</v>
      </c>
    </row>
    <row r="32" spans="1:30" x14ac:dyDescent="0.4">
      <c r="M32" t="s">
        <v>34</v>
      </c>
      <c r="N32" s="10">
        <v>0.58011049723756902</v>
      </c>
      <c r="O32" s="10">
        <v>0.32596685082872928</v>
      </c>
      <c r="P32" s="10">
        <v>9.3922651933701654E-2</v>
      </c>
      <c r="Q32" s="9">
        <v>0.72131147540983609</v>
      </c>
      <c r="R32" s="9"/>
      <c r="S32" s="9"/>
      <c r="T32" s="9"/>
      <c r="V32" t="s">
        <v>46</v>
      </c>
      <c r="W32" s="8">
        <v>9.0909090909090898E-2</v>
      </c>
      <c r="X32" s="8">
        <v>0.5714285714285714</v>
      </c>
      <c r="Y32" s="8">
        <v>0.73913043478260876</v>
      </c>
      <c r="Z32" s="8">
        <v>0.92727272727272714</v>
      </c>
      <c r="AA32" s="8" t="s">
        <v>40</v>
      </c>
      <c r="AB32" s="26">
        <f t="shared" si="1"/>
        <v>0.58218520609824953</v>
      </c>
      <c r="AC32" s="27">
        <f t="shared" si="2"/>
        <v>0.31272141937669345</v>
      </c>
    </row>
    <row r="33" spans="2:30" x14ac:dyDescent="0.4">
      <c r="N33"/>
      <c r="O33"/>
      <c r="P33"/>
      <c r="V33" t="s">
        <v>62</v>
      </c>
      <c r="W33" s="8">
        <v>0.7142857142857143</v>
      </c>
      <c r="X33" s="8">
        <v>0.76923076923076916</v>
      </c>
      <c r="Y33" s="8">
        <v>1</v>
      </c>
      <c r="Z33" s="8">
        <v>1</v>
      </c>
      <c r="AA33" s="8" t="s">
        <v>40</v>
      </c>
      <c r="AB33" s="26">
        <f t="shared" si="1"/>
        <v>0.87087912087912089</v>
      </c>
      <c r="AC33" s="27">
        <f t="shared" si="2"/>
        <v>0.22713006726208418</v>
      </c>
    </row>
    <row r="34" spans="2:30" x14ac:dyDescent="0.4">
      <c r="N34"/>
      <c r="O34"/>
      <c r="P34"/>
      <c r="V34" t="s">
        <v>50</v>
      </c>
      <c r="W34" s="8">
        <v>0.47540983606557374</v>
      </c>
      <c r="X34" s="8">
        <v>0.41085271317829447</v>
      </c>
      <c r="Y34" s="8">
        <v>0.75757575757575757</v>
      </c>
      <c r="Z34" s="8">
        <v>0.80869565217391304</v>
      </c>
      <c r="AA34" s="8" t="s">
        <v>40</v>
      </c>
      <c r="AB34" s="26">
        <f t="shared" si="1"/>
        <v>0.61313348974838466</v>
      </c>
      <c r="AC34" s="27">
        <f t="shared" si="2"/>
        <v>-4.0272658033838837E-2</v>
      </c>
    </row>
    <row r="35" spans="2:30" x14ac:dyDescent="0.4">
      <c r="B35" s="13"/>
      <c r="M35" s="4"/>
      <c r="N35" s="4" t="s">
        <v>9</v>
      </c>
      <c r="O35" s="4" t="s">
        <v>37</v>
      </c>
      <c r="P35" s="4" t="s">
        <v>39</v>
      </c>
      <c r="Q35" s="4" t="s">
        <v>66</v>
      </c>
      <c r="R35" s="4" t="s">
        <v>65</v>
      </c>
      <c r="S35" s="4" t="s">
        <v>67</v>
      </c>
      <c r="T35" s="4" t="s">
        <v>68</v>
      </c>
      <c r="V35" t="s">
        <v>53</v>
      </c>
      <c r="W35" s="8">
        <v>0.59375</v>
      </c>
      <c r="X35" s="8">
        <v>0.38983050847457629</v>
      </c>
      <c r="Y35" s="8">
        <v>0.59615384615384615</v>
      </c>
      <c r="Z35" s="8">
        <v>0.88888888888888895</v>
      </c>
      <c r="AA35" s="8" t="s">
        <v>40</v>
      </c>
      <c r="AB35" s="26">
        <f t="shared" si="1"/>
        <v>0.6171558108793278</v>
      </c>
      <c r="AC35" s="27">
        <f t="shared" si="2"/>
        <v>-1.8985414754240648E-2</v>
      </c>
    </row>
    <row r="36" spans="2:30" x14ac:dyDescent="0.4">
      <c r="M36" t="s">
        <v>31</v>
      </c>
      <c r="N36" s="2">
        <v>0.30852105778648387</v>
      </c>
      <c r="O36" s="2">
        <v>0.62798092209856915</v>
      </c>
      <c r="P36" s="2">
        <v>8.7412587412587409E-2</v>
      </c>
      <c r="Q36" s="2">
        <v>0.12195121951219508</v>
      </c>
      <c r="R36" s="2">
        <v>0.80419580419580405</v>
      </c>
      <c r="S36" s="2">
        <v>-0.19553072625698326</v>
      </c>
      <c r="T36" s="2">
        <v>-0.15068493150684933</v>
      </c>
      <c r="V36" t="s">
        <v>63</v>
      </c>
      <c r="W36" s="8">
        <v>0.77777777777777779</v>
      </c>
      <c r="X36" s="8">
        <v>0.73913043478260865</v>
      </c>
      <c r="Y36" s="8">
        <v>0.83333333333333326</v>
      </c>
      <c r="Z36" s="8">
        <v>0.74193548387096786</v>
      </c>
      <c r="AA36" s="8" t="s">
        <v>40</v>
      </c>
      <c r="AB36" s="26">
        <f t="shared" si="1"/>
        <v>0.773044257441172</v>
      </c>
      <c r="AC36" s="27">
        <f t="shared" si="2"/>
        <v>0.1361087172603046</v>
      </c>
    </row>
    <row r="37" spans="2:30" x14ac:dyDescent="0.4">
      <c r="M37" t="s">
        <v>32</v>
      </c>
      <c r="N37" s="2">
        <v>0.29936642027455118</v>
      </c>
      <c r="O37" s="2">
        <v>0.61739130434782608</v>
      </c>
      <c r="P37" s="2">
        <v>4.3024771838331109E-2</v>
      </c>
      <c r="Q37" s="2">
        <v>0.24242424242424243</v>
      </c>
      <c r="R37" s="2">
        <v>0.64741641337386024</v>
      </c>
      <c r="S37" s="2">
        <v>-5.6074766355140193E-2</v>
      </c>
      <c r="T37" s="2">
        <v>-6.4039408866995051E-2</v>
      </c>
      <c r="V37" t="s">
        <v>56</v>
      </c>
      <c r="W37" s="8">
        <v>0.77777777777777779</v>
      </c>
      <c r="X37" s="8">
        <v>0.37349397590361444</v>
      </c>
      <c r="Y37" s="8">
        <v>0.67647058823529416</v>
      </c>
      <c r="Z37" s="8">
        <v>0.13157894736842107</v>
      </c>
      <c r="AA37" s="8" t="s">
        <v>40</v>
      </c>
      <c r="AB37" s="26">
        <f t="shared" si="1"/>
        <v>0.48983032232127688</v>
      </c>
      <c r="AC37" s="27">
        <f t="shared" si="2"/>
        <v>-0.15385579560747031</v>
      </c>
    </row>
    <row r="38" spans="2:30" x14ac:dyDescent="0.4">
      <c r="M38" t="s">
        <v>33</v>
      </c>
      <c r="N38" s="2">
        <v>0.70356018406393794</v>
      </c>
      <c r="O38" s="2">
        <v>0.72377158034528566</v>
      </c>
      <c r="P38" s="2">
        <v>0.7091319052987598</v>
      </c>
      <c r="Q38" s="2">
        <v>0.40119760479041922</v>
      </c>
      <c r="R38" s="2">
        <v>0.87903225806451624</v>
      </c>
      <c r="S38" s="2">
        <v>0.4891774891774891</v>
      </c>
      <c r="T38" s="2">
        <v>0.69872958257713247</v>
      </c>
      <c r="V38" t="s">
        <v>52</v>
      </c>
      <c r="W38" s="8">
        <v>0.34782608695652178</v>
      </c>
      <c r="X38" s="8">
        <v>0.85858585858585867</v>
      </c>
      <c r="Y38" s="8">
        <v>0.83720930232558155</v>
      </c>
      <c r="Z38" s="8">
        <v>0.7520661157024795</v>
      </c>
      <c r="AA38" s="8" t="s">
        <v>40</v>
      </c>
      <c r="AB38" s="26">
        <f t="shared" si="1"/>
        <v>0.69892184089261034</v>
      </c>
      <c r="AC38" s="27">
        <f t="shared" si="2"/>
        <v>-1.4377783265669852E-2</v>
      </c>
    </row>
    <row r="39" spans="2:30" x14ac:dyDescent="0.4">
      <c r="M39" t="s">
        <v>30</v>
      </c>
      <c r="N39" s="2">
        <v>0.75128746306458427</v>
      </c>
      <c r="O39" s="2">
        <v>0.79054054054054057</v>
      </c>
      <c r="P39" s="2">
        <v>0.71381397908640631</v>
      </c>
      <c r="Q39" s="2">
        <v>0.33012820512820512</v>
      </c>
      <c r="R39" s="2">
        <v>0.85185185185185186</v>
      </c>
      <c r="S39" s="2">
        <v>0.66650694777192132</v>
      </c>
      <c r="T39" s="2">
        <v>0.84077892325315018</v>
      </c>
      <c r="V39" t="s">
        <v>49</v>
      </c>
      <c r="W39" s="8">
        <v>-0.37499999999999994</v>
      </c>
      <c r="X39" s="8">
        <v>0.45454545454545459</v>
      </c>
      <c r="Y39" s="8">
        <v>0.26315789473684209</v>
      </c>
      <c r="Z39" s="8">
        <v>0.64285714285714279</v>
      </c>
      <c r="AA39" s="8" t="s">
        <v>40</v>
      </c>
      <c r="AB39" s="26">
        <f t="shared" si="1"/>
        <v>0.24639012303485988</v>
      </c>
      <c r="AC39" s="27">
        <f t="shared" si="2"/>
        <v>-0.14599335221974349</v>
      </c>
      <c r="AD39" t="s">
        <v>80</v>
      </c>
    </row>
    <row r="40" spans="2:30" x14ac:dyDescent="0.4">
      <c r="M40" t="s">
        <v>34</v>
      </c>
      <c r="N40" s="2">
        <v>0.80939226519337015</v>
      </c>
      <c r="O40" s="2" t="s">
        <v>40</v>
      </c>
      <c r="P40" s="2">
        <v>0.72131147540983609</v>
      </c>
      <c r="Q40" s="2">
        <v>0.41025641025641019</v>
      </c>
      <c r="R40" s="2">
        <v>0.99531615925058536</v>
      </c>
      <c r="S40" s="2">
        <v>0.99531615925058536</v>
      </c>
      <c r="T40" s="2">
        <v>0.52542372881355937</v>
      </c>
      <c r="V40" t="s">
        <v>51</v>
      </c>
      <c r="W40" s="8">
        <v>0</v>
      </c>
      <c r="X40" s="8">
        <v>0.26984126984126988</v>
      </c>
      <c r="Y40" s="8">
        <v>0.72839506172839508</v>
      </c>
      <c r="Z40" s="8">
        <v>0.42857142857142849</v>
      </c>
      <c r="AA40" s="8" t="s">
        <v>40</v>
      </c>
      <c r="AB40" s="26">
        <f t="shared" si="1"/>
        <v>0.35670194003527333</v>
      </c>
      <c r="AC40" s="27">
        <f t="shared" si="2"/>
        <v>-8.2101978238830309E-2</v>
      </c>
    </row>
    <row r="41" spans="2:30" x14ac:dyDescent="0.4">
      <c r="M41" s="30" t="s">
        <v>44</v>
      </c>
      <c r="N41" s="31">
        <f t="shared" ref="N41" si="3">AVERAGE(N36:N40)</f>
        <v>0.57442547807658551</v>
      </c>
      <c r="O41" s="31">
        <f>AVERAGE(O36:O40)</f>
        <v>0.68992108683305542</v>
      </c>
      <c r="P41" s="31">
        <f t="shared" ref="P41:T41" si="4">AVERAGE(P36:P40)</f>
        <v>0.45493894380918415</v>
      </c>
      <c r="Q41" s="31">
        <f t="shared" si="4"/>
        <v>0.3011915364222944</v>
      </c>
      <c r="R41" s="31">
        <f t="shared" si="4"/>
        <v>0.83556249734732346</v>
      </c>
      <c r="S41" s="31">
        <f t="shared" si="4"/>
        <v>0.37987902071757446</v>
      </c>
      <c r="T41" s="31">
        <f t="shared" si="4"/>
        <v>0.37004157885399958</v>
      </c>
      <c r="V41" t="s">
        <v>64</v>
      </c>
      <c r="W41" s="8">
        <v>0.4</v>
      </c>
      <c r="X41" s="8">
        <v>0.89473684210526316</v>
      </c>
      <c r="Y41" s="8">
        <v>0.92307692307692313</v>
      </c>
      <c r="Z41" s="8">
        <v>1</v>
      </c>
      <c r="AA41" s="8" t="s">
        <v>40</v>
      </c>
      <c r="AB41" s="26">
        <f t="shared" si="1"/>
        <v>0.80445344129554663</v>
      </c>
      <c r="AC41" s="27">
        <f t="shared" si="2"/>
        <v>5.9044934025318407E-2</v>
      </c>
    </row>
    <row r="42" spans="2:30" x14ac:dyDescent="0.4">
      <c r="V42" s="24" t="s">
        <v>54</v>
      </c>
      <c r="W42" s="8">
        <v>1</v>
      </c>
      <c r="X42" s="8">
        <v>0.53846153846153855</v>
      </c>
      <c r="Y42" s="8">
        <v>1</v>
      </c>
      <c r="Z42" s="8">
        <v>0.83333333333333337</v>
      </c>
      <c r="AA42" s="8" t="s">
        <v>40</v>
      </c>
      <c r="AB42" s="26">
        <f t="shared" si="1"/>
        <v>0.84294871794871795</v>
      </c>
      <c r="AC42" s="27">
        <f t="shared" si="2"/>
        <v>0.72959842070497816</v>
      </c>
    </row>
    <row r="43" spans="2:30" x14ac:dyDescent="0.4">
      <c r="V43" s="24" t="s">
        <v>55</v>
      </c>
      <c r="W43" s="8">
        <v>-0.5</v>
      </c>
      <c r="X43" s="8">
        <v>0.20000000000000004</v>
      </c>
      <c r="Y43" s="8">
        <v>1</v>
      </c>
      <c r="Z43" s="8">
        <v>1</v>
      </c>
      <c r="AA43" s="8" t="s">
        <v>40</v>
      </c>
      <c r="AB43" s="26">
        <f t="shared" si="1"/>
        <v>0.42500000000000004</v>
      </c>
      <c r="AC43" s="27">
        <f t="shared" si="2"/>
        <v>0.20509212114772155</v>
      </c>
      <c r="AD43" t="s">
        <v>81</v>
      </c>
    </row>
    <row r="44" spans="2:30" x14ac:dyDescent="0.4">
      <c r="V44" s="24" t="s">
        <v>57</v>
      </c>
      <c r="W44" s="8">
        <v>0.83333333333333326</v>
      </c>
      <c r="X44" s="8">
        <v>0.78082191780821908</v>
      </c>
      <c r="Y44" s="8">
        <v>0.69230769230769229</v>
      </c>
      <c r="Z44" s="8">
        <v>0.5757575757575758</v>
      </c>
      <c r="AA44" s="8" t="s">
        <v>40</v>
      </c>
      <c r="AB44" s="26">
        <f t="shared" si="1"/>
        <v>0.72055512980170511</v>
      </c>
      <c r="AC44" s="27">
        <f t="shared" si="2"/>
        <v>0.26235795868318568</v>
      </c>
    </row>
    <row r="47" spans="2:30" x14ac:dyDescent="0.4">
      <c r="V47" s="3" t="s">
        <v>39</v>
      </c>
      <c r="W47" s="4" t="s">
        <v>31</v>
      </c>
      <c r="X47" s="4" t="s">
        <v>58</v>
      </c>
      <c r="Y47" s="4" t="s">
        <v>59</v>
      </c>
      <c r="Z47" s="4" t="s">
        <v>60</v>
      </c>
      <c r="AA47" s="28" t="s">
        <v>61</v>
      </c>
      <c r="AB47" s="4" t="s">
        <v>44</v>
      </c>
      <c r="AC47" s="4" t="s">
        <v>45</v>
      </c>
      <c r="AD47" s="4" t="s">
        <v>73</v>
      </c>
    </row>
    <row r="48" spans="2:30" x14ac:dyDescent="0.4">
      <c r="V48" t="s">
        <v>48</v>
      </c>
      <c r="W48" s="8">
        <v>0.7272727272727274</v>
      </c>
      <c r="X48" s="8">
        <v>0.46666666666666673</v>
      </c>
      <c r="Y48" s="8">
        <v>0.83750000000000002</v>
      </c>
      <c r="Z48" s="8">
        <v>0.76083188908145594</v>
      </c>
      <c r="AA48" s="8">
        <v>0.91999999999999993</v>
      </c>
      <c r="AB48" s="26">
        <f t="shared" ref="AB48:AB62" si="5">AVERAGE(W48:AA48)</f>
        <v>0.74245425660417008</v>
      </c>
      <c r="AC48" s="27">
        <f t="shared" ref="AC48:AC62" si="6">AB48-AB12</f>
        <v>-1.6197608220970494E-2</v>
      </c>
    </row>
    <row r="49" spans="22:30" x14ac:dyDescent="0.4">
      <c r="V49" t="s">
        <v>47</v>
      </c>
      <c r="W49" s="8">
        <v>0.61111111111111105</v>
      </c>
      <c r="X49" s="8">
        <v>5.5555555555555552E-2</v>
      </c>
      <c r="Y49" s="8">
        <v>0.51219512195121941</v>
      </c>
      <c r="Z49" s="8">
        <v>0.86802030456852797</v>
      </c>
      <c r="AA49" s="8" t="s">
        <v>40</v>
      </c>
      <c r="AB49" s="26">
        <f t="shared" si="5"/>
        <v>0.51172052329660356</v>
      </c>
      <c r="AC49" s="27">
        <f t="shared" si="6"/>
        <v>-0.17153620480742571</v>
      </c>
    </row>
    <row r="50" spans="22:30" x14ac:dyDescent="0.4">
      <c r="V50" t="s">
        <v>46</v>
      </c>
      <c r="W50" s="8">
        <v>-0.39622641509433959</v>
      </c>
      <c r="X50" s="8">
        <v>-0.11864406779661019</v>
      </c>
      <c r="Y50" s="8">
        <v>-3.5714285714285657E-2</v>
      </c>
      <c r="Z50" s="8">
        <v>0.59615384615384615</v>
      </c>
      <c r="AA50" s="8">
        <v>0.27272727272727276</v>
      </c>
      <c r="AB50" s="26">
        <f t="shared" si="5"/>
        <v>6.3659270055176673E-2</v>
      </c>
      <c r="AC50" s="27">
        <f t="shared" si="6"/>
        <v>-0.20580451666637939</v>
      </c>
      <c r="AD50" t="s">
        <v>82</v>
      </c>
    </row>
    <row r="51" spans="22:30" x14ac:dyDescent="0.4">
      <c r="V51" t="s">
        <v>62</v>
      </c>
      <c r="W51" s="8">
        <v>0.27777777777777785</v>
      </c>
      <c r="X51" s="8">
        <v>0.29411764705882354</v>
      </c>
      <c r="Y51" s="8">
        <v>1</v>
      </c>
      <c r="Z51" s="8">
        <v>0.69696969696969702</v>
      </c>
      <c r="AA51" s="8">
        <v>0.84</v>
      </c>
      <c r="AB51" s="26">
        <f t="shared" si="5"/>
        <v>0.62177302436125959</v>
      </c>
      <c r="AC51" s="27">
        <f t="shared" si="6"/>
        <v>-2.197602925577713E-2</v>
      </c>
    </row>
    <row r="52" spans="22:30" x14ac:dyDescent="0.4">
      <c r="V52" t="s">
        <v>50</v>
      </c>
      <c r="W52" s="8">
        <v>0.4285714285714286</v>
      </c>
      <c r="X52" s="8">
        <v>0.24444444444444444</v>
      </c>
      <c r="Y52" s="8">
        <v>0.88764044943820231</v>
      </c>
      <c r="Z52" s="8">
        <v>0.87387387387387405</v>
      </c>
      <c r="AA52" s="8">
        <v>1</v>
      </c>
      <c r="AB52" s="26">
        <f t="shared" si="5"/>
        <v>0.6869060392655898</v>
      </c>
      <c r="AC52" s="27">
        <f t="shared" si="6"/>
        <v>3.3499891483366295E-2</v>
      </c>
    </row>
    <row r="53" spans="22:30" x14ac:dyDescent="0.4">
      <c r="V53" t="s">
        <v>53</v>
      </c>
      <c r="W53" s="8">
        <v>0.12500000000000003</v>
      </c>
      <c r="X53" s="8">
        <v>-7.2463768115942018E-2</v>
      </c>
      <c r="Y53" s="8">
        <v>0.92432432432432432</v>
      </c>
      <c r="Z53" s="8">
        <v>0.89795918367346927</v>
      </c>
      <c r="AA53" s="8">
        <v>0.60000000000000009</v>
      </c>
      <c r="AB53" s="26">
        <f t="shared" si="5"/>
        <v>0.49496394797637039</v>
      </c>
      <c r="AC53" s="27">
        <f t="shared" si="6"/>
        <v>-0.14117727765719806</v>
      </c>
      <c r="AD53" t="s">
        <v>75</v>
      </c>
    </row>
    <row r="54" spans="22:30" x14ac:dyDescent="0.4">
      <c r="V54" t="s">
        <v>63</v>
      </c>
      <c r="W54" s="8">
        <v>-0.19999999999999996</v>
      </c>
      <c r="X54" s="8">
        <v>0.125</v>
      </c>
      <c r="Y54" s="8">
        <v>0.60869565217391319</v>
      </c>
      <c r="Z54" s="8">
        <v>0.8125</v>
      </c>
      <c r="AA54" s="8">
        <v>1</v>
      </c>
      <c r="AB54" s="26">
        <f t="shared" si="5"/>
        <v>0.46923913043478266</v>
      </c>
      <c r="AC54" s="27">
        <f t="shared" si="6"/>
        <v>-0.16769640974608474</v>
      </c>
      <c r="AD54" t="s">
        <v>83</v>
      </c>
    </row>
    <row r="55" spans="22:30" x14ac:dyDescent="0.4">
      <c r="V55" t="s">
        <v>56</v>
      </c>
      <c r="W55" s="8">
        <v>0.25</v>
      </c>
      <c r="X55" s="8">
        <v>0.30769230769230771</v>
      </c>
      <c r="Y55" s="8">
        <v>0.79325842696629212</v>
      </c>
      <c r="Z55" s="8">
        <v>0.80487804878048785</v>
      </c>
      <c r="AA55" s="8">
        <v>0.33333333333333331</v>
      </c>
      <c r="AB55" s="26">
        <f t="shared" si="5"/>
        <v>0.49783242335448419</v>
      </c>
      <c r="AC55" s="27">
        <f t="shared" si="6"/>
        <v>-0.145853694574263</v>
      </c>
    </row>
    <row r="56" spans="22:30" x14ac:dyDescent="0.4">
      <c r="V56" t="s">
        <v>52</v>
      </c>
      <c r="W56" s="8">
        <v>0.19999999999999996</v>
      </c>
      <c r="X56" s="8">
        <v>-0.25</v>
      </c>
      <c r="Y56" s="8">
        <v>0.85964912280701744</v>
      </c>
      <c r="Z56" s="8">
        <v>0.86363636363636354</v>
      </c>
      <c r="AA56" s="8">
        <v>1</v>
      </c>
      <c r="AB56" s="26">
        <f t="shared" si="5"/>
        <v>0.53465709728867616</v>
      </c>
      <c r="AC56" s="27">
        <f t="shared" si="6"/>
        <v>-0.17864252686960402</v>
      </c>
      <c r="AD56" t="s">
        <v>84</v>
      </c>
    </row>
    <row r="57" spans="22:30" x14ac:dyDescent="0.4">
      <c r="V57" t="s">
        <v>49</v>
      </c>
      <c r="W57" s="8">
        <v>0.11864406779661019</v>
      </c>
      <c r="X57" s="8">
        <v>-0.23636363636363639</v>
      </c>
      <c r="Y57" s="8">
        <v>0.67391304347826098</v>
      </c>
      <c r="Z57" s="8">
        <v>6.779661016949147E-2</v>
      </c>
      <c r="AA57" s="8">
        <v>0</v>
      </c>
      <c r="AB57" s="26">
        <f t="shared" si="5"/>
        <v>0.12479801701614524</v>
      </c>
      <c r="AC57" s="27">
        <f t="shared" si="6"/>
        <v>-0.26758545823845814</v>
      </c>
      <c r="AD57" t="s">
        <v>85</v>
      </c>
    </row>
    <row r="58" spans="22:30" x14ac:dyDescent="0.4">
      <c r="V58" t="s">
        <v>51</v>
      </c>
      <c r="W58" s="8">
        <v>0.11538461538461536</v>
      </c>
      <c r="X58" s="8">
        <v>0.19565217391304354</v>
      </c>
      <c r="Y58" s="8">
        <v>0.58303886925795056</v>
      </c>
      <c r="Z58" s="8">
        <v>0.52</v>
      </c>
      <c r="AA58" s="8">
        <v>-0.33333333333333331</v>
      </c>
      <c r="AB58" s="26">
        <f t="shared" si="5"/>
        <v>0.21614846504445526</v>
      </c>
      <c r="AC58" s="27">
        <f t="shared" si="6"/>
        <v>-0.22265545322964839</v>
      </c>
      <c r="AD58" t="s">
        <v>86</v>
      </c>
    </row>
    <row r="59" spans="22:30" x14ac:dyDescent="0.4">
      <c r="V59" t="s">
        <v>64</v>
      </c>
      <c r="W59" s="8">
        <v>0.17647058823529416</v>
      </c>
      <c r="X59" s="8">
        <v>0.33333333333333331</v>
      </c>
      <c r="Y59" s="8">
        <v>0.89873417721518978</v>
      </c>
      <c r="Z59" s="8">
        <v>0.86956521739130421</v>
      </c>
      <c r="AA59" s="8" t="s">
        <v>40</v>
      </c>
      <c r="AB59" s="26">
        <f t="shared" si="5"/>
        <v>0.56952582904378035</v>
      </c>
      <c r="AC59" s="27">
        <f t="shared" si="6"/>
        <v>-0.17588267822644787</v>
      </c>
    </row>
    <row r="60" spans="22:30" x14ac:dyDescent="0.4">
      <c r="V60" s="24" t="s">
        <v>54</v>
      </c>
      <c r="W60" s="8">
        <v>-0.42465753424657526</v>
      </c>
      <c r="X60" s="8">
        <v>-0.37349397590361449</v>
      </c>
      <c r="Y60" s="8">
        <v>0.14285714285714282</v>
      </c>
      <c r="Z60" s="8">
        <v>0.40259740259740262</v>
      </c>
      <c r="AA60" s="8">
        <v>0.42857142857142849</v>
      </c>
      <c r="AB60" s="26">
        <f t="shared" si="5"/>
        <v>3.5174892775156841E-2</v>
      </c>
      <c r="AC60" s="27">
        <f t="shared" si="6"/>
        <v>-7.8175404468582954E-2</v>
      </c>
      <c r="AD60" t="s">
        <v>88</v>
      </c>
    </row>
    <row r="61" spans="22:30" x14ac:dyDescent="0.4">
      <c r="V61" s="24" t="s">
        <v>55</v>
      </c>
      <c r="W61" s="8">
        <v>-0.86956521739130432</v>
      </c>
      <c r="X61" s="8">
        <v>0.5714285714285714</v>
      </c>
      <c r="Y61" s="8">
        <v>0.46666666666666673</v>
      </c>
      <c r="Z61" s="8">
        <v>0.80952380952380953</v>
      </c>
      <c r="AA61" s="8" t="s">
        <v>40</v>
      </c>
      <c r="AB61" s="26">
        <f t="shared" si="5"/>
        <v>0.24451345755693582</v>
      </c>
      <c r="AC61" s="27">
        <f t="shared" si="6"/>
        <v>2.4605578704657322E-2</v>
      </c>
      <c r="AD61" t="s">
        <v>87</v>
      </c>
    </row>
    <row r="62" spans="22:30" x14ac:dyDescent="0.4">
      <c r="V62" s="24" t="s">
        <v>57</v>
      </c>
      <c r="W62" s="8">
        <v>0.16666666666666663</v>
      </c>
      <c r="X62" s="8">
        <v>0.2</v>
      </c>
      <c r="Y62" s="8">
        <v>0.25000000000000006</v>
      </c>
      <c r="Z62" s="8">
        <v>0.81818181818181823</v>
      </c>
      <c r="AA62" s="8">
        <v>1</v>
      </c>
      <c r="AB62" s="26">
        <f t="shared" si="5"/>
        <v>0.486969696969697</v>
      </c>
      <c r="AC62" s="27">
        <f t="shared" si="6"/>
        <v>2.8772525851177566E-2</v>
      </c>
    </row>
  </sheetData>
  <mergeCells count="4">
    <mergeCell ref="A9:K9"/>
    <mergeCell ref="M9:Q9"/>
    <mergeCell ref="N24:Q24"/>
    <mergeCell ref="V9:AB9"/>
  </mergeCells>
  <phoneticPr fontId="3" type="noConversion"/>
  <conditionalFormatting sqref="B12:B1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{860E4EDF-359E-4BA2-B65B-C729C5A8FBD7}</x14:id>
        </ext>
      </extLst>
    </cfRule>
  </conditionalFormatting>
  <conditionalFormatting sqref="B12:K1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{766C38A1-D91B-4624-9E4C-C1AB00DE836D}</x14:id>
        </ext>
      </extLst>
    </cfRule>
  </conditionalFormatting>
  <conditionalFormatting sqref="B20:K2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{37CC933C-82AA-4F7F-893E-C47C333B9E43}</x14:id>
        </ext>
      </extLs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{8E49AFD0-9B25-49D1-A104-6CCF1D4064C3}</x14:id>
        </ext>
      </extLst>
    </cfRule>
  </conditionalFormatting>
  <conditionalFormatting sqref="C12:C1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{3EBF8A47-883B-4C1B-A0F1-C431221280F0}</x14:id>
        </ext>
      </extLst>
    </cfRule>
  </conditionalFormatting>
  <conditionalFormatting sqref="E12:E1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{4CBC4F4A-B352-45E7-8E0E-3D95D7E53DCE}</x14:id>
        </ext>
      </extLst>
    </cfRule>
  </conditionalFormatting>
  <conditionalFormatting sqref="F12:F14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{35756C8E-001C-4425-9D97-1F102E7173B0}</x14:id>
        </ext>
      </extLst>
    </cfRule>
  </conditionalFormatting>
  <conditionalFormatting sqref="G12:J1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{DAD77A16-385F-4495-AD33-02ED1552F086}</x14:id>
        </ext>
      </extLst>
    </cfRule>
  </conditionalFormatting>
  <conditionalFormatting sqref="K12:K14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{0671BCD6-0B72-4FD0-8619-A0A30AADC1D6}</x14:id>
        </ext>
      </extLst>
    </cfRule>
  </conditionalFormatting>
  <conditionalFormatting sqref="N36:T4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{FEFC7D75-B03E-4842-9811-90A8FD0093BC}</x14:id>
        </ext>
      </extLst>
    </cfRule>
  </conditionalFormatting>
  <conditionalFormatting sqref="O36:O3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{3CDDAC52-026B-42A6-9B36-619EA177AD00}</x14:id>
        </ext>
      </extLst>
    </cfRule>
  </conditionalFormatting>
  <conditionalFormatting sqref="O4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{B51A705C-C4A5-4DA7-8AA6-4A3359141294}</x14:id>
        </ext>
      </extLst>
    </cfRule>
  </conditionalFormatting>
  <conditionalFormatting sqref="P36:P4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{12BC1E8C-59CB-4AE6-953D-472E3F818902}</x14:id>
        </ext>
      </extLst>
    </cfRule>
  </conditionalFormatting>
  <conditionalFormatting sqref="Q36:Q4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{04A91D08-9C75-451D-B10C-456703BE0DE9}</x14:id>
        </ext>
      </extLst>
    </cfRule>
  </conditionalFormatting>
  <conditionalFormatting sqref="Q12:T16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{028EC390-FCB6-4AE2-92ED-BEBCF1D375DD}</x14:id>
        </ext>
      </extLst>
    </cfRule>
  </conditionalFormatting>
  <conditionalFormatting sqref="Q20:T2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{E744829B-D446-4795-AE88-BD19596B2363}</x14:id>
        </ext>
      </extLst>
    </cfRule>
  </conditionalFormatting>
  <conditionalFormatting sqref="Q28:T3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{6EB6E89F-DBE7-4AE6-90C4-4F136BA14FFE}</x14:id>
        </ext>
      </extLst>
    </cfRule>
  </conditionalFormatting>
  <conditionalFormatting sqref="R36:R4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{F7B72B12-63B4-40C2-B6E4-2BFB38ECDD42}</x14:id>
        </ext>
      </extLst>
    </cfRule>
  </conditionalFormatting>
  <conditionalFormatting sqref="S36:S4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{44C64C40-9D7E-4773-AC68-EBFE8761F57D}</x14:id>
        </ext>
      </extLst>
    </cfRule>
  </conditionalFormatting>
  <conditionalFormatting sqref="S4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{E4FDB04B-03FB-4410-8DBF-2A3BC34EC02F}</x14:id>
        </ext>
      </extLst>
    </cfRule>
  </conditionalFormatting>
  <conditionalFormatting sqref="T36:T4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{189DF1CD-0F10-4BC9-B871-656F80C63D4D}</x14:id>
        </ext>
      </extLst>
    </cfRule>
  </conditionalFormatting>
  <conditionalFormatting sqref="AB12:AB26">
    <cfRule type="dataBar" priority="4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{E222EF83-AEAD-46F7-84B4-FCB06DB1BCBE}</x14:id>
        </ext>
      </extLst>
    </cfRule>
  </conditionalFormatting>
  <conditionalFormatting sqref="AB30:AB44">
    <cfRule type="dataBar" priority="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{455E8793-2F0A-4416-A10C-6EC036D99CC8}</x14:id>
        </ext>
      </extLst>
    </cfRule>
  </conditionalFormatting>
  <conditionalFormatting sqref="AB48:AB62">
    <cfRule type="dataBar" priority="4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{BEE3F976-96B5-4942-BF4F-806858A9094B}</x14:id>
        </ext>
      </extLst>
    </cfRule>
  </conditionalFormatting>
  <conditionalFormatting sqref="AC30:AC4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{945EAB41-B59F-43B3-980A-20850A14EB54}</x14:id>
        </ext>
      </extLst>
    </cfRule>
  </conditionalFormatting>
  <conditionalFormatting sqref="AC48:AC62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{DA9AEC3E-1052-4783-ADC5-E31255019C4C}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0E4EDF-359E-4BA2-B65B-C729C5A8FB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B12:B14</xm:sqref>
        </x14:conditionalFormatting>
        <x14:conditionalFormatting xmlns:xm="http://schemas.microsoft.com/office/excel/2006/main">
          <x14:cfRule type="dataBar" id="{766C38A1-D91B-4624-9E4C-C1AB00DE83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B12:K16</xm:sqref>
        </x14:conditionalFormatting>
        <x14:conditionalFormatting xmlns:xm="http://schemas.microsoft.com/office/excel/2006/main">
          <x14:cfRule type="dataBar" id="{37CC933C-82AA-4F7F-893E-C47C333B9E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49AFD0-9B25-49D1-A104-6CCF1D406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B20:K24</xm:sqref>
        </x14:conditionalFormatting>
        <x14:conditionalFormatting xmlns:xm="http://schemas.microsoft.com/office/excel/2006/main">
          <x14:cfRule type="dataBar" id="{3EBF8A47-883B-4C1B-A0F1-C431221280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C12:C14</xm:sqref>
        </x14:conditionalFormatting>
        <x14:conditionalFormatting xmlns:xm="http://schemas.microsoft.com/office/excel/2006/main">
          <x14:cfRule type="dataBar" id="{4CBC4F4A-B352-45E7-8E0E-3D95D7E53D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E12:E14</xm:sqref>
        </x14:conditionalFormatting>
        <x14:conditionalFormatting xmlns:xm="http://schemas.microsoft.com/office/excel/2006/main">
          <x14:cfRule type="dataBar" id="{35756C8E-001C-4425-9D97-1F102E7173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F12:F14</xm:sqref>
        </x14:conditionalFormatting>
        <x14:conditionalFormatting xmlns:xm="http://schemas.microsoft.com/office/excel/2006/main">
          <x14:cfRule type="dataBar" id="{DAD77A16-385F-4495-AD33-02ED1552F0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G12:J14</xm:sqref>
        </x14:conditionalFormatting>
        <x14:conditionalFormatting xmlns:xm="http://schemas.microsoft.com/office/excel/2006/main">
          <x14:cfRule type="dataBar" id="{0671BCD6-0B72-4FD0-8619-A0A30AADC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K12:K14</xm:sqref>
        </x14:conditionalFormatting>
        <x14:conditionalFormatting xmlns:xm="http://schemas.microsoft.com/office/excel/2006/main">
          <x14:cfRule type="dataBar" id="{FEFC7D75-B03E-4842-9811-90A8FD0093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N36:T40</xm:sqref>
        </x14:conditionalFormatting>
        <x14:conditionalFormatting xmlns:xm="http://schemas.microsoft.com/office/excel/2006/main">
          <x14:cfRule type="dataBar" id="{3CDDAC52-026B-42A6-9B36-619EA177AD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O36:O39</xm:sqref>
        </x14:conditionalFormatting>
        <x14:conditionalFormatting xmlns:xm="http://schemas.microsoft.com/office/excel/2006/main">
          <x14:cfRule type="dataBar" id="{B51A705C-C4A5-4DA7-8AA6-4A33591412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O40</xm:sqref>
        </x14:conditionalFormatting>
        <x14:conditionalFormatting xmlns:xm="http://schemas.microsoft.com/office/excel/2006/main">
          <x14:cfRule type="dataBar" id="{12BC1E8C-59CB-4AE6-953D-472E3F8189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P36:P40</xm:sqref>
        </x14:conditionalFormatting>
        <x14:conditionalFormatting xmlns:xm="http://schemas.microsoft.com/office/excel/2006/main">
          <x14:cfRule type="dataBar" id="{04A91D08-9C75-451D-B10C-456703BE0D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Q36:Q40</xm:sqref>
        </x14:conditionalFormatting>
        <x14:conditionalFormatting xmlns:xm="http://schemas.microsoft.com/office/excel/2006/main">
          <x14:cfRule type="dataBar" id="{028EC390-FCB6-4AE2-92ED-BEBCF1D375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Q12:T16</xm:sqref>
        </x14:conditionalFormatting>
        <x14:conditionalFormatting xmlns:xm="http://schemas.microsoft.com/office/excel/2006/main">
          <x14:cfRule type="dataBar" id="{E744829B-D446-4795-AE88-BD19596B23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Q20:T23</xm:sqref>
        </x14:conditionalFormatting>
        <x14:conditionalFormatting xmlns:xm="http://schemas.microsoft.com/office/excel/2006/main">
          <x14:cfRule type="dataBar" id="{6EB6E89F-DBE7-4AE6-90C4-4F136BA14F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Q28:T32</xm:sqref>
        </x14:conditionalFormatting>
        <x14:conditionalFormatting xmlns:xm="http://schemas.microsoft.com/office/excel/2006/main">
          <x14:cfRule type="dataBar" id="{F7B72B12-63B4-40C2-B6E4-2BFB38ECDD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R36:R40</xm:sqref>
        </x14:conditionalFormatting>
        <x14:conditionalFormatting xmlns:xm="http://schemas.microsoft.com/office/excel/2006/main">
          <x14:cfRule type="dataBar" id="{44C64C40-9D7E-4773-AC68-EBFE8761F5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S36:S40</xm:sqref>
        </x14:conditionalFormatting>
        <x14:conditionalFormatting xmlns:xm="http://schemas.microsoft.com/office/excel/2006/main">
          <x14:cfRule type="dataBar" id="{E4FDB04B-03FB-4410-8DBF-2A3BC34EC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S40</xm:sqref>
        </x14:conditionalFormatting>
        <x14:conditionalFormatting xmlns:xm="http://schemas.microsoft.com/office/excel/2006/main">
          <x14:cfRule type="dataBar" id="{189DF1CD-0F10-4BC9-B871-656F80C63D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T36:T40</xm:sqref>
        </x14:conditionalFormatting>
        <x14:conditionalFormatting xmlns:xm="http://schemas.microsoft.com/office/excel/2006/main">
          <x14:cfRule type="dataBar" id="{E222EF83-AEAD-46F7-84B4-FCB06DB1BC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AB12:AB26</xm:sqref>
        </x14:conditionalFormatting>
        <x14:conditionalFormatting xmlns:xm="http://schemas.microsoft.com/office/excel/2006/main">
          <x14:cfRule type="dataBar" id="{455E8793-2F0A-4416-A10C-6EC036D99C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AB30:AB44</xm:sqref>
        </x14:conditionalFormatting>
        <x14:conditionalFormatting xmlns:xm="http://schemas.microsoft.com/office/excel/2006/main">
          <x14:cfRule type="dataBar" id="{BEE3F976-96B5-4942-BF4F-806858A909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AB48:AB62</xm:sqref>
        </x14:conditionalFormatting>
        <x14:conditionalFormatting xmlns:xm="http://schemas.microsoft.com/office/excel/2006/main">
          <x14:cfRule type="dataBar" id="{945EAB41-B59F-43B3-980A-20850A14EB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AC30:AC44</xm:sqref>
        </x14:conditionalFormatting>
        <x14:conditionalFormatting xmlns:xm="http://schemas.microsoft.com/office/excel/2006/main">
          <x14:cfRule type="dataBar" id="{DA9AEC3E-1052-4783-ADC5-E31255019C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AC48:AC62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 Me</vt:lpstr>
      <vt:lpstr>数据整理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Bai</dc:creator>
  <cp:lastModifiedBy>jianxiang.wang</cp:lastModifiedBy>
  <dcterms:created xsi:type="dcterms:W3CDTF">2026-02-10T08:16:28Z</dcterms:created>
  <dcterms:modified xsi:type="dcterms:W3CDTF">2026-07-10T10:18:14Z</dcterms:modified>
</cp:coreProperties>
</file>